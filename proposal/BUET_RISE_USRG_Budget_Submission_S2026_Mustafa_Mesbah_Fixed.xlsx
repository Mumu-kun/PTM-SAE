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30" windowWidth="27495" windowHeight="12465"/>
  </bookViews>
  <sheets>
    <sheet name="Detail Budget" sheetId="1" r:id="rId1"/>
  </sheets>
  <calcPr calcId="145621"/>
</workbook>
</file>

<file path=xl/calcChain.xml><?xml version="1.0" encoding="utf-8"?>
<calcChain xmlns="http://schemas.openxmlformats.org/spreadsheetml/2006/main">
  <c r="H32" i="1" l="1"/>
  <c r="H31" i="1"/>
  <c r="H28" i="1"/>
  <c r="H29" i="1"/>
  <c r="H26" i="1"/>
  <c r="H22" i="1"/>
  <c r="H18" i="1"/>
  <c r="H11" i="1"/>
  <c r="H12" i="1" s="1"/>
  <c r="H13" i="1" l="1"/>
  <c r="H33" i="1"/>
  <c r="H34" i="1" s="1"/>
  <c r="H35" i="1" l="1"/>
  <c r="H37" i="1" l="1"/>
  <c r="H38" i="1" s="1"/>
  <c r="I38" i="1" l="1"/>
  <c r="I18" i="1"/>
  <c r="I26" i="1"/>
  <c r="I29" i="1"/>
  <c r="I28" i="1"/>
  <c r="I31" i="1"/>
  <c r="I32" i="1"/>
  <c r="I12" i="1"/>
  <c r="I22" i="1"/>
  <c r="I11" i="1"/>
  <c r="I34" i="1"/>
  <c r="I33" i="1"/>
  <c r="I13" i="1"/>
  <c r="I35" i="1"/>
  <c r="I37" i="1"/>
</calcChain>
</file>

<file path=xl/sharedStrings.xml><?xml version="1.0" encoding="utf-8"?>
<sst xmlns="http://schemas.openxmlformats.org/spreadsheetml/2006/main" count="44" uniqueCount="36">
  <si>
    <t>Details of Estimated Budget for</t>
  </si>
  <si>
    <t>RISE Student Research Grant</t>
  </si>
  <si>
    <t>Call ID:</t>
  </si>
  <si>
    <t>S2026-01</t>
  </si>
  <si>
    <t>Project Title: Modular Sparse Autoencoders for Multi-Site Post-Translational Modification Interpretability in Protein Language Models</t>
  </si>
  <si>
    <t>in BDT</t>
  </si>
  <si>
    <t>Economic Code</t>
  </si>
  <si>
    <t>Item of Expenditure /Activity</t>
  </si>
  <si>
    <t>Unit</t>
  </si>
  <si>
    <t>Quantity</t>
  </si>
  <si>
    <t>Rate</t>
  </si>
  <si>
    <t>Estimated 
Cost 
(Taka)</t>
  </si>
  <si>
    <t>% of
Estimated 
total Cost</t>
  </si>
  <si>
    <t>(a) Conference Registration and Participation Expenses</t>
  </si>
  <si>
    <t xml:space="preserve"> Conference Presentaion Allowance:</t>
  </si>
  <si>
    <t>Conference registration and participation allowance for project presentation (maximum BDT 10,000)</t>
  </si>
  <si>
    <t>package</t>
  </si>
  <si>
    <t xml:space="preserve">Sub-Total </t>
  </si>
  <si>
    <t>Total Conference Participation Expense</t>
  </si>
  <si>
    <t>(b) Resource Purchased</t>
  </si>
  <si>
    <t>Chemicals:</t>
  </si>
  <si>
    <t>Not applicable</t>
  </si>
  <si>
    <t>Sub-Total</t>
  </si>
  <si>
    <t>Research Data Collection (Survey, Sample Testing, Data Collection):</t>
  </si>
  <si>
    <t>Laboratory Equipment:</t>
  </si>
  <si>
    <t>Computers and Accessories:</t>
  </si>
  <si>
    <t>lot</t>
  </si>
  <si>
    <t>Computer Software:</t>
  </si>
  <si>
    <t>Google Colab Pro+ GPU subscription for project team (1 shared account x 7 months @ BDT 7,014/mo, based on base price USD $49.99/mo + 15% statutory digital service VAT = USD $57.49/mo, at bank conversion rate of BDT 122/USD)</t>
  </si>
  <si>
    <t>month</t>
  </si>
  <si>
    <t>LLM API credits and research tooling subscriptions (OpenAI/Anthropic API access for automated latent interpretation and literature synthesis; 7 months @ BDT 1,450/mo, based on USD $10.00/mo + 15% digital VAT @ BDT 122/USD + bank card fee)</t>
  </si>
  <si>
    <t>Total resource purchased</t>
  </si>
  <si>
    <t>Total Cost (a+b)</t>
  </si>
  <si>
    <t>(c) Contingency</t>
  </si>
  <si>
    <t>Operations contingency (maximum 2% of total cost (a+b) )</t>
  </si>
  <si>
    <t>Total Project Cost (a+b+c)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</si>
</sst>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8" x14ac:knownFonts="1">
    <font>
      <sz val="10"/>
      <name val="Arial"/>
    </font>
    <font>
      <sz val="10"/>
      <name val="Arial"/>
    </font>
    <font>
      <b/>
      <sz val="12"/>
      <name val="Times New Roman"/>
    </font>
    <font>
      <b/>
      <sz val="11"/>
      <name val="Times New Roman"/>
    </font>
    <font>
      <sz val="11"/>
      <name val="Times New Roman"/>
    </font>
    <font>
      <b/>
      <i/>
      <sz val="11"/>
      <name val="Times New Roman"/>
    </font>
    <font>
      <sz val="12"/>
      <name val="Times New Roman"/>
    </font>
    <font>
      <b/>
      <sz val="11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 tint="-0.249977111117893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8"/>
    <xf numFmtId="43" fontId="1" fillId="0" borderId="8"/>
  </cellStyleXfs>
  <cellXfs count="62">
    <xf numFmtId="0" fontId="0" fillId="0" borderId="0" xfId="0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Border="1"/>
    <xf numFmtId="0" fontId="7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3" fontId="4" fillId="0" borderId="1" xfId="0" applyNumberFormat="1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vertical="center"/>
    </xf>
    <xf numFmtId="3" fontId="4" fillId="0" borderId="4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43" fontId="4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3" fontId="3" fillId="2" borderId="1" xfId="0" applyNumberFormat="1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vertical="center"/>
    </xf>
    <xf numFmtId="3" fontId="4" fillId="0" borderId="4" xfId="0" applyNumberFormat="1" applyFont="1" applyBorder="1" applyAlignment="1">
      <alignment horizontal="center" vertical="center"/>
    </xf>
    <xf numFmtId="0" fontId="2" fillId="0" borderId="8" xfId="0" applyFont="1" applyAlignment="1">
      <alignment horizontal="center" vertical="top"/>
    </xf>
    <xf numFmtId="0" fontId="0" fillId="0" borderId="8" xfId="0"/>
    <xf numFmtId="0" fontId="5" fillId="0" borderId="9" xfId="0" applyFont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3" fillId="0" borderId="9" xfId="0" applyFont="1" applyBorder="1" applyAlignment="1">
      <alignment horizontal="left" vertical="center"/>
    </xf>
    <xf numFmtId="0" fontId="4" fillId="0" borderId="8" xfId="0" applyFont="1" applyAlignment="1">
      <alignment horizontal="left"/>
    </xf>
    <xf numFmtId="0" fontId="3" fillId="3" borderId="9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0" fillId="0" borderId="13" xfId="0" applyBorder="1"/>
    <xf numFmtId="0" fontId="4" fillId="0" borderId="9" xfId="0" applyFont="1" applyBorder="1" applyAlignment="1">
      <alignment horizontal="center" vertical="center"/>
    </xf>
    <xf numFmtId="0" fontId="0" fillId="0" borderId="16" xfId="0" applyBorder="1"/>
    <xf numFmtId="0" fontId="0" fillId="0" borderId="14" xfId="0" applyBorder="1"/>
    <xf numFmtId="0" fontId="5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2" fillId="0" borderId="8" xfId="0" applyFont="1" applyAlignment="1">
      <alignment horizontal="center"/>
    </xf>
    <xf numFmtId="0" fontId="3" fillId="0" borderId="8" xfId="0" applyFont="1" applyAlignment="1">
      <alignment horizontal="left" wrapText="1"/>
    </xf>
    <xf numFmtId="0" fontId="3" fillId="0" borderId="8" xfId="0" applyFont="1" applyAlignment="1">
      <alignment horizontal="right" vertical="top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Alignment="1">
      <alignment horizontal="left"/>
    </xf>
    <xf numFmtId="0" fontId="3" fillId="0" borderId="1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right" vertical="center"/>
    </xf>
    <xf numFmtId="0" fontId="5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</cellXfs>
  <cellStyles count="2">
    <cellStyle name="Comma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</sheetPr>
  <dimension ref="A1:I38"/>
  <sheetViews>
    <sheetView tabSelected="1" topLeftCell="A16" workbookViewId="0">
      <selection activeCell="N31" sqref="N31"/>
    </sheetView>
  </sheetViews>
  <sheetFormatPr defaultColWidth="8.7109375" defaultRowHeight="15" x14ac:dyDescent="0.25"/>
  <cols>
    <col min="1" max="1" width="9.28515625" style="1" customWidth="1"/>
    <col min="2" max="3" width="4.42578125" style="1" customWidth="1"/>
    <col min="4" max="4" width="36.42578125" style="1" customWidth="1"/>
    <col min="5" max="5" width="16" style="2" customWidth="1"/>
    <col min="6" max="6" width="10" style="2" customWidth="1"/>
    <col min="7" max="7" width="13" style="1" customWidth="1"/>
    <col min="8" max="8" width="14" style="1" customWidth="1"/>
    <col min="9" max="9" width="13" style="1" customWidth="1"/>
    <col min="10" max="10" width="8.7109375" style="1" customWidth="1"/>
    <col min="11" max="16384" width="8.7109375" style="1"/>
  </cols>
  <sheetData>
    <row r="1" spans="1:9" s="12" customFormat="1" ht="15.75" customHeight="1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</row>
    <row r="2" spans="1:9" s="12" customFormat="1" ht="15.75" customHeight="1" x14ac:dyDescent="0.25">
      <c r="A2" s="52" t="s">
        <v>1</v>
      </c>
      <c r="B2" s="36"/>
      <c r="C2" s="36"/>
      <c r="D2" s="36"/>
      <c r="E2" s="36"/>
      <c r="F2" s="36"/>
      <c r="G2" s="36"/>
      <c r="H2" s="36"/>
      <c r="I2" s="36"/>
    </row>
    <row r="3" spans="1:9" ht="7.5" customHeight="1" x14ac:dyDescent="0.25">
      <c r="A3" s="56"/>
      <c r="B3" s="36"/>
      <c r="C3" s="36"/>
      <c r="D3" s="36"/>
      <c r="E3" s="36"/>
      <c r="F3" s="36"/>
      <c r="G3" s="36"/>
      <c r="H3" s="36"/>
      <c r="I3" s="36"/>
    </row>
    <row r="4" spans="1:9" x14ac:dyDescent="0.25">
      <c r="A4" s="15" t="s">
        <v>2</v>
      </c>
      <c r="B4" s="41" t="s">
        <v>3</v>
      </c>
      <c r="C4" s="36"/>
      <c r="D4" s="36"/>
      <c r="E4" s="36"/>
      <c r="F4" s="36"/>
      <c r="G4" s="36"/>
      <c r="H4" s="36"/>
      <c r="I4" s="36"/>
    </row>
    <row r="5" spans="1:9" ht="36" customHeight="1" x14ac:dyDescent="0.25">
      <c r="A5" s="53" t="s">
        <v>4</v>
      </c>
      <c r="B5" s="36"/>
      <c r="C5" s="36"/>
      <c r="D5" s="36"/>
      <c r="E5" s="36"/>
      <c r="F5" s="36"/>
      <c r="G5" s="36"/>
      <c r="H5" s="36"/>
      <c r="I5" s="36"/>
    </row>
    <row r="6" spans="1:9" x14ac:dyDescent="0.25">
      <c r="A6" s="16"/>
      <c r="B6" s="16"/>
      <c r="C6" s="16"/>
      <c r="D6" s="16"/>
      <c r="G6" s="16"/>
      <c r="H6" s="16"/>
      <c r="I6" s="16"/>
    </row>
    <row r="7" spans="1:9" x14ac:dyDescent="0.25">
      <c r="A7" s="3"/>
      <c r="B7" s="3"/>
      <c r="C7" s="3"/>
      <c r="D7" s="3"/>
      <c r="E7" s="3"/>
      <c r="F7" s="3"/>
      <c r="G7" s="3"/>
      <c r="H7" s="54" t="s">
        <v>5</v>
      </c>
      <c r="I7" s="36"/>
    </row>
    <row r="8" spans="1:9" ht="40.5" customHeight="1" x14ac:dyDescent="0.25">
      <c r="A8" s="21" t="s">
        <v>6</v>
      </c>
      <c r="B8" s="61" t="s">
        <v>7</v>
      </c>
      <c r="C8" s="38"/>
      <c r="D8" s="38"/>
      <c r="E8" s="20" t="s">
        <v>8</v>
      </c>
      <c r="F8" s="20" t="s">
        <v>9</v>
      </c>
      <c r="G8" s="20" t="s">
        <v>10</v>
      </c>
      <c r="H8" s="21" t="s">
        <v>11</v>
      </c>
      <c r="I8" s="21" t="s">
        <v>12</v>
      </c>
    </row>
    <row r="9" spans="1:9" ht="16.149999999999999" customHeight="1" x14ac:dyDescent="0.25">
      <c r="A9" s="42" t="s">
        <v>13</v>
      </c>
      <c r="B9" s="38"/>
      <c r="C9" s="38"/>
      <c r="D9" s="39"/>
      <c r="E9" s="22"/>
      <c r="F9" s="22"/>
      <c r="G9" s="23"/>
      <c r="H9" s="23"/>
      <c r="I9" s="23"/>
    </row>
    <row r="10" spans="1:9" ht="16.149999999999999" customHeight="1" x14ac:dyDescent="0.25">
      <c r="A10" s="13">
        <v>3211111</v>
      </c>
      <c r="B10" s="37" t="s">
        <v>14</v>
      </c>
      <c r="C10" s="38"/>
      <c r="D10" s="39"/>
      <c r="E10" s="20"/>
      <c r="F10" s="20"/>
      <c r="G10" s="24"/>
      <c r="H10" s="25"/>
      <c r="I10" s="24"/>
    </row>
    <row r="11" spans="1:9" ht="44.1" customHeight="1" x14ac:dyDescent="0.25">
      <c r="A11" s="55"/>
      <c r="B11" s="4"/>
      <c r="C11" s="50" t="s">
        <v>15</v>
      </c>
      <c r="D11" s="39"/>
      <c r="E11" s="26" t="s">
        <v>16</v>
      </c>
      <c r="F11" s="17">
        <v>1</v>
      </c>
      <c r="G11" s="25">
        <v>10000</v>
      </c>
      <c r="H11" s="25">
        <f>F11*G11</f>
        <v>10000</v>
      </c>
      <c r="I11" s="30">
        <f>IFERROR(H11/$H$38,0)</f>
        <v>0.14157691456543542</v>
      </c>
    </row>
    <row r="12" spans="1:9" ht="16.149999999999999" customHeight="1" x14ac:dyDescent="0.25">
      <c r="A12" s="47"/>
      <c r="B12" s="40" t="s">
        <v>17</v>
      </c>
      <c r="C12" s="38"/>
      <c r="D12" s="39"/>
      <c r="E12" s="26"/>
      <c r="F12" s="17"/>
      <c r="G12" s="25"/>
      <c r="H12" s="25">
        <f>SUM(H11:H11)</f>
        <v>10000</v>
      </c>
      <c r="I12" s="30">
        <f>IFERROR(H12/$H$38,0)</f>
        <v>0.14157691456543542</v>
      </c>
    </row>
    <row r="13" spans="1:9" ht="16.149999999999999" customHeight="1" x14ac:dyDescent="0.25">
      <c r="A13" s="58" t="s">
        <v>18</v>
      </c>
      <c r="B13" s="38"/>
      <c r="C13" s="38"/>
      <c r="D13" s="39"/>
      <c r="E13" s="20"/>
      <c r="F13" s="17"/>
      <c r="G13" s="25"/>
      <c r="H13" s="31">
        <f>H12</f>
        <v>10000</v>
      </c>
      <c r="I13" s="30">
        <f>IFERROR(H13/$H$38,0)</f>
        <v>0.14157691456543542</v>
      </c>
    </row>
    <row r="14" spans="1:9" ht="16.149999999999999" customHeight="1" x14ac:dyDescent="0.25">
      <c r="A14" s="42" t="s">
        <v>19</v>
      </c>
      <c r="B14" s="38"/>
      <c r="C14" s="38"/>
      <c r="D14" s="39"/>
      <c r="E14" s="27"/>
      <c r="F14" s="32"/>
      <c r="G14" s="18"/>
      <c r="H14" s="18"/>
      <c r="I14" s="33"/>
    </row>
    <row r="15" spans="1:9" ht="16.149999999999999" customHeight="1" x14ac:dyDescent="0.25">
      <c r="A15" s="6">
        <v>3256102</v>
      </c>
      <c r="B15" s="48" t="s">
        <v>20</v>
      </c>
      <c r="C15" s="38"/>
      <c r="D15" s="38"/>
      <c r="E15" s="20"/>
      <c r="F15" s="17"/>
      <c r="G15" s="25"/>
      <c r="H15" s="25"/>
      <c r="I15" s="30"/>
    </row>
    <row r="16" spans="1:9" ht="16.149999999999999" customHeight="1" x14ac:dyDescent="0.25">
      <c r="A16" s="51"/>
      <c r="B16" s="7"/>
      <c r="C16" s="50" t="s">
        <v>21</v>
      </c>
      <c r="D16" s="39"/>
      <c r="E16" s="20"/>
      <c r="F16" s="17"/>
      <c r="G16" s="25"/>
      <c r="H16" s="25"/>
      <c r="I16" s="30"/>
    </row>
    <row r="17" spans="1:9" ht="16.149999999999999" customHeight="1" x14ac:dyDescent="0.25">
      <c r="A17" s="46"/>
      <c r="B17" s="7"/>
      <c r="C17" s="50"/>
      <c r="D17" s="39"/>
      <c r="E17" s="20"/>
      <c r="F17" s="17"/>
      <c r="G17" s="25"/>
      <c r="H17" s="25"/>
      <c r="I17" s="30"/>
    </row>
    <row r="18" spans="1:9" ht="16.149999999999999" customHeight="1" x14ac:dyDescent="0.25">
      <c r="A18" s="47"/>
      <c r="B18" s="40" t="s">
        <v>22</v>
      </c>
      <c r="C18" s="38"/>
      <c r="D18" s="39"/>
      <c r="E18" s="28"/>
      <c r="F18" s="17"/>
      <c r="G18" s="25"/>
      <c r="H18" s="25">
        <f>SUM(H16:H17)</f>
        <v>0</v>
      </c>
      <c r="I18" s="30">
        <f>IFERROR(H18/$H$38,0)</f>
        <v>0</v>
      </c>
    </row>
    <row r="19" spans="1:9" ht="28.9" customHeight="1" x14ac:dyDescent="0.25">
      <c r="A19" s="6">
        <v>3257104</v>
      </c>
      <c r="B19" s="59" t="s">
        <v>23</v>
      </c>
      <c r="C19" s="38"/>
      <c r="D19" s="39"/>
      <c r="E19" s="20"/>
      <c r="F19" s="17"/>
      <c r="G19" s="25"/>
      <c r="H19" s="25"/>
      <c r="I19" s="30"/>
    </row>
    <row r="20" spans="1:9" ht="16.149999999999999" customHeight="1" x14ac:dyDescent="0.25">
      <c r="A20" s="51"/>
      <c r="B20" s="8"/>
      <c r="C20" s="50" t="s">
        <v>21</v>
      </c>
      <c r="D20" s="39"/>
      <c r="E20" s="20"/>
      <c r="F20" s="17"/>
      <c r="G20" s="25"/>
      <c r="H20" s="25"/>
      <c r="I20" s="30"/>
    </row>
    <row r="21" spans="1:9" ht="16.149999999999999" customHeight="1" x14ac:dyDescent="0.25">
      <c r="A21" s="46"/>
      <c r="B21" s="14"/>
      <c r="C21" s="50"/>
      <c r="D21" s="39"/>
      <c r="E21" s="20"/>
      <c r="F21" s="17"/>
      <c r="G21" s="25"/>
      <c r="H21" s="25"/>
      <c r="I21" s="30"/>
    </row>
    <row r="22" spans="1:9" ht="16.149999999999999" customHeight="1" x14ac:dyDescent="0.25">
      <c r="A22" s="47"/>
      <c r="B22" s="40" t="s">
        <v>22</v>
      </c>
      <c r="C22" s="38"/>
      <c r="D22" s="39"/>
      <c r="E22" s="20"/>
      <c r="F22" s="17"/>
      <c r="G22" s="25"/>
      <c r="H22" s="25">
        <f>SUM(H20:H21)</f>
        <v>0</v>
      </c>
      <c r="I22" s="30">
        <f>IFERROR(H22/$H$38,0)</f>
        <v>0</v>
      </c>
    </row>
    <row r="23" spans="1:9" ht="16.149999999999999" customHeight="1" x14ac:dyDescent="0.25">
      <c r="A23" s="6">
        <v>4112306</v>
      </c>
      <c r="B23" s="37" t="s">
        <v>24</v>
      </c>
      <c r="C23" s="38"/>
      <c r="D23" s="39"/>
      <c r="E23" s="20"/>
      <c r="F23" s="17"/>
      <c r="G23" s="25"/>
      <c r="H23" s="25"/>
      <c r="I23" s="30"/>
    </row>
    <row r="24" spans="1:9" ht="16.149999999999999" customHeight="1" x14ac:dyDescent="0.25">
      <c r="A24" s="45"/>
      <c r="B24" s="5"/>
      <c r="C24" s="50" t="s">
        <v>21</v>
      </c>
      <c r="D24" s="39"/>
      <c r="E24" s="20"/>
      <c r="F24" s="17"/>
      <c r="G24" s="25"/>
      <c r="H24" s="25"/>
      <c r="I24" s="30"/>
    </row>
    <row r="25" spans="1:9" ht="16.149999999999999" customHeight="1" x14ac:dyDescent="0.25">
      <c r="A25" s="46"/>
      <c r="B25" s="5"/>
      <c r="C25" s="50"/>
      <c r="D25" s="39"/>
      <c r="E25" s="20"/>
      <c r="F25" s="17"/>
      <c r="G25" s="25"/>
      <c r="H25" s="25"/>
      <c r="I25" s="30"/>
    </row>
    <row r="26" spans="1:9" ht="16.149999999999999" customHeight="1" x14ac:dyDescent="0.25">
      <c r="A26" s="47"/>
      <c r="B26" s="40" t="s">
        <v>22</v>
      </c>
      <c r="C26" s="38"/>
      <c r="D26" s="39"/>
      <c r="E26" s="20"/>
      <c r="F26" s="17"/>
      <c r="G26" s="25"/>
      <c r="H26" s="25">
        <f>SUM(H24:H25)</f>
        <v>0</v>
      </c>
      <c r="I26" s="30">
        <f>IFERROR(H26/$H$38,0)</f>
        <v>0</v>
      </c>
    </row>
    <row r="27" spans="1:9" ht="16.149999999999999" customHeight="1" x14ac:dyDescent="0.25">
      <c r="A27" s="6">
        <v>4112202</v>
      </c>
      <c r="B27" s="37" t="s">
        <v>25</v>
      </c>
      <c r="C27" s="38"/>
      <c r="D27" s="39"/>
      <c r="E27" s="20"/>
      <c r="F27" s="17"/>
      <c r="G27" s="25"/>
      <c r="H27" s="25"/>
      <c r="I27" s="30"/>
    </row>
    <row r="28" spans="1:9" ht="50.1" customHeight="1" x14ac:dyDescent="0.25">
      <c r="A28" s="46"/>
      <c r="B28" s="9"/>
      <c r="C28" s="60" t="s">
        <v>21</v>
      </c>
      <c r="D28" s="39"/>
      <c r="E28" s="20"/>
      <c r="F28" s="17"/>
      <c r="G28" s="25"/>
      <c r="H28" s="25">
        <f>F28*G28</f>
        <v>0</v>
      </c>
      <c r="I28" s="30">
        <f>IFERROR(H28/$H$38,0)</f>
        <v>0</v>
      </c>
    </row>
    <row r="29" spans="1:9" ht="16.149999999999999" customHeight="1" x14ac:dyDescent="0.25">
      <c r="A29" s="47"/>
      <c r="B29" s="40" t="s">
        <v>22</v>
      </c>
      <c r="C29" s="38"/>
      <c r="D29" s="39"/>
      <c r="E29" s="20"/>
      <c r="F29" s="17"/>
      <c r="G29" s="25"/>
      <c r="H29" s="25">
        <f>SUM(H28:H28)</f>
        <v>0</v>
      </c>
      <c r="I29" s="30">
        <f>IFERROR(H29/$H$38,0)</f>
        <v>0</v>
      </c>
    </row>
    <row r="30" spans="1:9" ht="16.149999999999999" customHeight="1" x14ac:dyDescent="0.25">
      <c r="A30" s="6">
        <v>4113301</v>
      </c>
      <c r="B30" s="37" t="s">
        <v>27</v>
      </c>
      <c r="C30" s="38"/>
      <c r="D30" s="39"/>
      <c r="E30" s="20"/>
      <c r="F30" s="17"/>
      <c r="G30" s="25"/>
      <c r="H30" s="25"/>
      <c r="I30" s="30"/>
    </row>
    <row r="31" spans="1:9" ht="90" customHeight="1" x14ac:dyDescent="0.25">
      <c r="A31" s="45"/>
      <c r="B31" s="10"/>
      <c r="C31" s="50" t="s">
        <v>28</v>
      </c>
      <c r="D31" s="39"/>
      <c r="E31" s="20" t="s">
        <v>29</v>
      </c>
      <c r="F31" s="17">
        <v>7</v>
      </c>
      <c r="G31" s="25">
        <v>7014</v>
      </c>
      <c r="H31" s="25">
        <f>F31*G31</f>
        <v>49098</v>
      </c>
      <c r="I31" s="30">
        <f>IFERROR(H31/$H$38,0)</f>
        <v>0.69511425255900217</v>
      </c>
    </row>
    <row r="32" spans="1:9" ht="90" customHeight="1" x14ac:dyDescent="0.25">
      <c r="A32" s="46"/>
      <c r="B32" s="10"/>
      <c r="C32" s="50" t="s">
        <v>30</v>
      </c>
      <c r="D32" s="39"/>
      <c r="E32" s="20" t="s">
        <v>29</v>
      </c>
      <c r="F32" s="17">
        <v>7</v>
      </c>
      <c r="G32" s="25">
        <v>1450</v>
      </c>
      <c r="H32" s="25">
        <f>F32*G32</f>
        <v>10150</v>
      </c>
      <c r="I32" s="30">
        <f>IFERROR(H32/$H$38,0)</f>
        <v>0.14370053657893619</v>
      </c>
    </row>
    <row r="33" spans="1:9" ht="16.149999999999999" customHeight="1" x14ac:dyDescent="0.25">
      <c r="A33" s="47"/>
      <c r="B33" s="40" t="s">
        <v>22</v>
      </c>
      <c r="C33" s="38"/>
      <c r="D33" s="39"/>
      <c r="E33" s="20"/>
      <c r="F33" s="17"/>
      <c r="G33" s="25"/>
      <c r="H33" s="25">
        <f>SUM(H31:H32)</f>
        <v>59248</v>
      </c>
      <c r="I33" s="30">
        <f>IFERROR(H33/$H$38,0)</f>
        <v>0.83881478913793839</v>
      </c>
    </row>
    <row r="34" spans="1:9" ht="16.149999999999999" customHeight="1" x14ac:dyDescent="0.25">
      <c r="A34" s="49" t="s">
        <v>31</v>
      </c>
      <c r="B34" s="38"/>
      <c r="C34" s="38"/>
      <c r="D34" s="38"/>
      <c r="E34" s="20"/>
      <c r="F34" s="17"/>
      <c r="G34" s="25"/>
      <c r="H34" s="25">
        <f>SUM(H18,H22,H26,H29,H33)</f>
        <v>59248</v>
      </c>
      <c r="I34" s="30">
        <f>IFERROR(H34/$H$38,0)</f>
        <v>0.83881478913793839</v>
      </c>
    </row>
    <row r="35" spans="1:9" ht="16.149999999999999" customHeight="1" x14ac:dyDescent="0.25">
      <c r="A35" s="49" t="s">
        <v>32</v>
      </c>
      <c r="B35" s="38"/>
      <c r="C35" s="38"/>
      <c r="D35" s="38"/>
      <c r="E35" s="20"/>
      <c r="F35" s="17"/>
      <c r="G35" s="25"/>
      <c r="H35" s="25">
        <f>H13+H34</f>
        <v>69248</v>
      </c>
      <c r="I35" s="30">
        <f>IFERROR(H35/$H$38,0)</f>
        <v>0.98039160165925265</v>
      </c>
    </row>
    <row r="36" spans="1:9" ht="16.149999999999999" customHeight="1" x14ac:dyDescent="0.25">
      <c r="A36" s="42" t="s">
        <v>33</v>
      </c>
      <c r="B36" s="38"/>
      <c r="C36" s="38"/>
      <c r="D36" s="38"/>
      <c r="E36" s="38"/>
      <c r="F36" s="38"/>
      <c r="G36" s="38"/>
      <c r="H36" s="38"/>
      <c r="I36" s="39"/>
    </row>
    <row r="37" spans="1:9" ht="44.1" customHeight="1" x14ac:dyDescent="0.25">
      <c r="A37" s="11">
        <v>3257303</v>
      </c>
      <c r="B37" s="57" t="s">
        <v>34</v>
      </c>
      <c r="C37" s="38"/>
      <c r="D37" s="39"/>
      <c r="E37" s="20" t="s">
        <v>26</v>
      </c>
      <c r="F37" s="17">
        <v>1</v>
      </c>
      <c r="G37" s="17">
        <v>1385</v>
      </c>
      <c r="H37" s="17">
        <f>MIN(F37*G37,H35*2%)</f>
        <v>1385</v>
      </c>
      <c r="I37" s="30">
        <f>IFERROR(H37/$H$38,0)</f>
        <v>1.9608398340747249E-2</v>
      </c>
    </row>
    <row r="38" spans="1:9" ht="21" customHeight="1" x14ac:dyDescent="0.25">
      <c r="A38" s="43" t="s">
        <v>35</v>
      </c>
      <c r="B38" s="44"/>
      <c r="C38" s="44"/>
      <c r="D38" s="44"/>
      <c r="E38" s="29"/>
      <c r="F38" s="34"/>
      <c r="G38" s="19"/>
      <c r="H38" s="19">
        <f>H35+H37</f>
        <v>70633</v>
      </c>
      <c r="I38" s="30">
        <f>IFERROR(H38/$H$38,0)</f>
        <v>1</v>
      </c>
    </row>
  </sheetData>
  <mergeCells count="43">
    <mergeCell ref="A31:A33"/>
    <mergeCell ref="B37:D37"/>
    <mergeCell ref="A13:D13"/>
    <mergeCell ref="B33:D33"/>
    <mergeCell ref="B10:D10"/>
    <mergeCell ref="C20:D20"/>
    <mergeCell ref="B19:D19"/>
    <mergeCell ref="C28:D28"/>
    <mergeCell ref="C24:D24"/>
    <mergeCell ref="B23:D23"/>
    <mergeCell ref="C32:D32"/>
    <mergeCell ref="A34:D34"/>
    <mergeCell ref="A38:D38"/>
    <mergeCell ref="B29:D29"/>
    <mergeCell ref="A24:A26"/>
    <mergeCell ref="B15:D15"/>
    <mergeCell ref="A35:D35"/>
    <mergeCell ref="C21:D21"/>
    <mergeCell ref="B26:D26"/>
    <mergeCell ref="C17:D17"/>
    <mergeCell ref="C31:D31"/>
    <mergeCell ref="B30:D30"/>
    <mergeCell ref="A16:A18"/>
    <mergeCell ref="B22:D22"/>
    <mergeCell ref="C16:D16"/>
    <mergeCell ref="C25:D25"/>
    <mergeCell ref="A28:A29"/>
    <mergeCell ref="A36:I36"/>
    <mergeCell ref="A1:I1"/>
    <mergeCell ref="B27:D27"/>
    <mergeCell ref="B18:D18"/>
    <mergeCell ref="B12:D12"/>
    <mergeCell ref="B4:I4"/>
    <mergeCell ref="A14:D14"/>
    <mergeCell ref="A2:I2"/>
    <mergeCell ref="A5:I5"/>
    <mergeCell ref="H7:I7"/>
    <mergeCell ref="C11:D11"/>
    <mergeCell ref="A11:A12"/>
    <mergeCell ref="A20:A22"/>
    <mergeCell ref="A3:I3"/>
    <mergeCell ref="A9:D9"/>
    <mergeCell ref="B8:D8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Budget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Fahad</cp:lastModifiedBy>
  <cp:lastPrinted>2026-09-05T13:22:48Z</cp:lastPrinted>
  <dcterms:created xsi:type="dcterms:W3CDTF">2026-09-03T09:54:21Z</dcterms:created>
  <dcterms:modified xsi:type="dcterms:W3CDTF">2026-09-05T15:07:26Z</dcterms:modified>
</cp:coreProperties>
</file>