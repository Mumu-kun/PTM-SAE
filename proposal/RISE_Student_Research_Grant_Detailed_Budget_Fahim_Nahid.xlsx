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830c6967e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 Budget" sheetId="3" r:id="R34b61c4f3db142ca"/>
  </x:sheets>
</x:workbook>
</file>

<file path=xl/sharedStrings.xml><?xml version="1.0" encoding="utf-8"?>
<x:sst xmlns:x="http://schemas.openxmlformats.org/spreadsheetml/2006/main">
  <x:si>
    <x:t xml:space="preserve">Details of Estimated Budget for</x:t>
  </x:si>
  <x:si>
    <x:t xml:space="preserve">RISE Student Research Grant</x:t>
  </x:si>
  <x:si>
    <x:t xml:space="preserve">Call ID:</x:t>
  </x:si>
  <x:si>
    <x:t xml:space="preserve">S2026-01</x:t>
  </x:si>
  <x:si>
    <x:t xml:space="preserve">in BDT</x:t>
  </x:si>
  <x:si>
    <x:t xml:space="preserve">Economic Code</x:t>
  </x:si>
  <x:si>
    <x:t xml:space="preserve">Item of Expenditure /Activity</x:t>
  </x:si>
  <x:si>
    <x:t xml:space="preserve">Unit</x:t>
  </x:si>
  <x:si>
    <x:t xml:space="preserve">Quantity</x:t>
  </x:si>
  <x:si>
    <x:t xml:space="preserve">Rate</x:t>
  </x:si>
  <x:si>
    <x:t xml:space="preserve">Estimated 
Cost 
(Taka)</x:t>
  </x:si>
  <x:si>
    <x:t xml:space="preserve">% of
Estimated 
total Cost</x:t>
  </x:si>
  <x:si>
    <x:t xml:space="preserve">(a) Conference Registration and Participation Expenses</x:t>
  </x:si>
  <x:si>
    <x:t xml:space="preserve"> Conference Presentaion Allowance:</x:t>
  </x:si>
  <x:si>
    <x:t xml:space="preserve">Sub-Total </x:t>
  </x:si>
  <x:si>
    <x:t xml:space="preserve">Total Conference Participation Expense</x:t>
  </x:si>
  <x:si>
    <x:t xml:space="preserve">(b) Resource Purchased</x:t>
  </x:si>
  <x:si>
    <x:t xml:space="preserve">Chemicals:</x:t>
  </x:si>
  <x:si>
    <x:t xml:space="preserve">Sub-Total</x:t>
  </x:si>
  <x:si>
    <x:t xml:space="preserve">Research Data Collection (Survey, Sample Testing, Data Collection):</x:t>
  </x:si>
  <x:si>
    <x:t xml:space="preserve">Laboratory Equipment:</x:t>
  </x:si>
  <x:si>
    <x:t xml:space="preserve">Computers and Accessories:</x:t>
  </x:si>
  <x:si>
    <x:t xml:space="preserve">Computer Software:</x:t>
  </x:si>
  <x:si>
    <x:t xml:space="preserve">Total resource purchased</x:t>
  </x:si>
  <x:si>
    <x:t xml:space="preserve">Total Cost (a+b)</x:t>
  </x:si>
  <x:si>
    <x:t xml:space="preserve">(c) Contingency</x:t>
  </x:si>
  <x:si>
    <x:t xml:space="preserve">Operations contingency (maximum 2% of total cost (a+b) )</x:t>
  </x:si>
  <x:si>
    <x:t xml:space="preserve">Total Project Cost (a+b+c)</x:t>
  </x:si>
</x:sst>
</file>

<file path=xl/styles.xml><?xml version="1.0" encoding="utf-8"?>
<x:styleSheet xmlns:x="http://schemas.openxmlformats.org/spreadsheetml/2006/main">
  <x:numFmts count="3">
    <x:numFmt numFmtId="43" formatCode="_(* #,##0.00_);_(* \(#,##0.00\);_(* &quot;-&quot;??_);_(@_)"/>
    <x:numFmt numFmtId="200" formatCode="#,##0"/>
    <x:numFmt numFmtId="201" formatCode="0.00%"/>
  </x:numFmts>
  <x:fonts count="9">
    <x:font>
      <x:sz val="10"/>
      <x:name val="Arial"/>
    </x:font>
    <x:font>
      <x:sz val="10"/>
      <x:name val="Arial"/>
    </x:font>
    <x:font>
      <x:sz val="8"/>
      <x:name val="Arial"/>
    </x:font>
    <x:font>
      <x:b/>
      <x:sz val="12"/>
      <x:name val="Times New Roman"/>
    </x:font>
    <x:font>
      <x:b/>
      <x:sz val="11"/>
      <x:name val="Times New Roman"/>
    </x:font>
    <x:font>
      <x:sz val="11"/>
      <x:name val="Times New Roman"/>
    </x:font>
    <x:font>
      <x:b/>
      <x:i/>
      <x:sz val="11"/>
      <x:name val="Times New Roman"/>
    </x:font>
    <x:font>
      <x:sz val="12"/>
      <x:name val="Times New Roman"/>
    </x:font>
    <x:font>
      <x:b/>
      <x:sz val="11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theme="0" tint="-0.24998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199">
    <x:xf numFmtId="0" fontId="0" fillId="0" borderId="0" xfId="0"/>
    <x:xf numFmtId="0" fontId="4" fillId="0" borderId="0" xfId="0" applyFont="1" applyAlignment="1">
      <x:alignment horizontal="left"/>
    </x:xf>
    <x:xf numFmtId="0" fontId="5" fillId="0" borderId="0" xfId="0" applyFont="1"/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center"/>
    </x:xf>
    <x:xf numFmtId="0" fontId="4" fillId="0" borderId="0" xfId="0" applyFont="1" applyAlignment="1">
      <x:alignment horizontal="center" vertical="top"/>
    </x:xf>
    <x:xf numFmtId="0" fontId="5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/>
    </x:xf>
    <x:xf numFmtId="0" fontId="5" fillId="2" borderId="1" xfId="0" applyFont="1" applyFill="1" applyBorder="1"/>
    <x:xf numFmtId="0" fontId="5" fillId="0" borderId="1" xfId="0" applyFont="1" applyBorder="1" applyAlignment="1">
      <x:alignment vertical="center"/>
    </x:xf>
    <x:xf numFmtId="3" fontId="5" fillId="0" borderId="1" xfId="0" applyNumberFormat="1" applyFont="1" applyBorder="1" applyAlignment="1">
      <x:alignment vertical="center"/>
    </x:xf>
    <x:xf numFmtId="0" fontId="5" fillId="0" borderId="2" xfId="0" applyFont="1" applyBorder="1" applyAlignment="1">
      <x:alignment horizontal="center" vertical="top"/>
    </x:xf>
    <x:xf numFmtId="0" fontId="5" fillId="0" borderId="2" xfId="0" applyFont="1" applyBorder="1" applyAlignment="1">
      <x:alignment vertical="center"/>
    </x:xf>
    <x:xf numFmtId="43" fontId="5" fillId="0" borderId="1" xfId="1" applyFont="1" applyFill="1" applyBorder="1" applyAlignment="1">
      <x:alignment horizontal="center" vertical="center"/>
    </x:xf>
    <x:xf numFmtId="3" fontId="5" fillId="0" borderId="1" xfId="1" applyNumberFormat="1" applyFont="1" applyFill="1" applyBorder="1" applyAlignment="1">
      <x:alignment horizontal="center" vertical="center"/>
    </x:xf>
    <x:xf numFmtId="3" fontId="5" fillId="0" borderId="1" xfId="1" applyNumberFormat="1" applyFont="1" applyFill="1" applyBorder="1" applyAlignment="1">
      <x:alignment vertical="center"/>
    </x:xf>
    <x:xf numFmtId="10" fontId="5" fillId="0" borderId="1" xfId="1" applyNumberFormat="1" applyFont="1" applyFill="1" applyBorder="1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/>
    </x:xf>
    <x:xf numFmtId="1" fontId="5" fillId="0" borderId="1" xfId="0" applyNumberFormat="1" applyFont="1" applyBorder="1" applyAlignment="1">
      <x:alignment horizontal="center"/>
    </x:xf>
    <x:xf numFmtId="1" fontId="5" fillId="0" borderId="1" xfId="0" applyNumberFormat="1" applyFont="1" applyBorder="1"/>
    <x:xf numFmtId="3" fontId="4" fillId="0" borderId="1" xfId="0" applyNumberFormat="1" applyFont="1" applyBorder="1"/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vertical="center"/>
    </x:xf>
    <x:xf numFmtId="3" fontId="4" fillId="2" borderId="1" xfId="0" applyNumberFormat="1" applyFont="1" applyFill="1" applyBorder="1" applyAlignment="1">
      <x:alignment vertical="center"/>
    </x:xf>
    <x:xf numFmtId="0" fontId="5" fillId="0" borderId="8" xfId="0" applyFont="1" applyBorder="1" applyAlignment="1">
      <x:alignment horizontal="center" vertical="center"/>
    </x:xf>
    <x:xf numFmtId="0" fontId="5" fillId="0" borderId="9" xfId="0" applyFont="1" applyBorder="1" applyAlignment="1">
      <x:alignment horizontal="left" vertical="center"/>
    </x:xf>
    <x:xf numFmtId="0" fontId="5" fillId="0" borderId="3" xfId="0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5" fillId="0" borderId="3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5" fillId="0" borderId="10" xfId="0" applyFont="1" applyBorder="1" applyAlignment="1">
      <x:alignment vertical="center"/>
    </x:xf>
    <x:xf numFmtId="10" fontId="5" fillId="0" borderId="1" xfId="1" applyNumberFormat="1" applyFont="1" applyBorder="1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3" fontId="5" fillId="0" borderId="1" xfId="0" applyNumberFormat="1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5" xfId="0" applyFont="1" applyBorder="1" applyAlignment="1">
      <x:alignment vertical="center"/>
    </x:xf>
    <x:xf numFmtId="3" fontId="5" fillId="0" borderId="5" xfId="0" applyNumberFormat="1" applyFont="1" applyBorder="1" applyAlignment="1">
      <x:alignment vertical="center"/>
    </x:xf>
    <x:xf numFmtId="0" fontId="7" fillId="0" borderId="0" xfId="0" applyFont="1"/>
    <x:xf numFmtId="0" fontId="8" fillId="0" borderId="1" xfId="0" applyFont="1" applyBorder="1" applyAlignment="1">
      <x:alignment horizontal="center"/>
    </x:xf>
    <x:xf numFmtId="0" fontId="4" fillId="0" borderId="3" xfId="0" applyFont="1" applyBorder="1" applyAlignment="1">
      <x:alignment horizontal="right" vertical="center"/>
    </x:xf>
    <x:xf numFmtId="0" fontId="4" fillId="0" borderId="2" xfId="0" applyFont="1" applyBorder="1" applyAlignment="1">
      <x:alignment horizontal="right" vertical="center"/>
    </x:xf>
    <x:xf numFmtId="0" fontId="4" fillId="0" borderId="8" xfId="0" applyFont="1" applyBorder="1" applyAlignment="1">
      <x:alignment horizontal="right" vertical="center"/>
    </x:xf>
    <x:xf numFmtId="0" fontId="4" fillId="3" borderId="3" xfId="0" applyFont="1" applyFill="1" applyBorder="1" applyAlignment="1">
      <x:alignment horizontal="left" vertical="center"/>
    </x:xf>
    <x:xf numFmtId="0" fontId="4" fillId="3" borderId="2" xfId="0" applyFont="1" applyFill="1" applyBorder="1" applyAlignment="1">
      <x:alignment horizontal="left" vertical="center"/>
    </x:xf>
    <x:xf numFmtId="0" fontId="4" fillId="3" borderId="8" xfId="0" applyFont="1" applyFill="1" applyBorder="1" applyAlignment="1">
      <x:alignment horizontal="left" vertical="center"/>
    </x:xf>
    <x:xf numFmtId="0" fontId="4" fillId="0" borderId="6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5" fillId="0" borderId="8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3" fillId="0" borderId="0" xfId="0" applyFont="1" applyAlignment="1">
      <x:alignment horizontal="center" vertical="top"/>
    </x:xf>
    <x:xf numFmtId="0" fontId="4" fillId="0" borderId="0" xfId="0" applyFont="1" applyAlignment="1">
      <x:alignment horizontal="right" vertical="top"/>
    </x:xf>
    <x:xf numFmtId="0" fontId="5" fillId="0" borderId="3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/>
    </x:xf>
    <x:xf numFmtId="0" fontId="6" fillId="0" borderId="8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x:xf numFmtId="0" fontId="6" fillId="0" borderId="8" xfId="0" applyFont="1" applyBorder="1" applyAlignment="1">
      <x:alignment horizontal="left" vertical="center" wrapText="1"/>
    </x:xf>
    <x:xf numFmtId="0" fontId="0" fillId="0" borderId="11" xfId="0" applyNumberFormat="1" applyFont="1" applyFill="1" applyBorder="1"/>
    <x:xf numFmtId="0" fontId="4" fillId="0" borderId="11" xfId="0" applyNumberFormat="1" applyFont="1" applyFill="1" applyBorder="1" applyAlignment="1">
      <x:alignment horizontal="left"/>
    </x:xf>
    <x:xf numFmtId="0" fontId="5" fillId="0" borderId="11" xfId="0" applyNumberFormat="1" applyFont="1" applyFill="1" applyBorder="1"/>
    <x:xf numFmtId="0" fontId="5" fillId="0" borderId="11" xfId="0" applyNumberFormat="1" applyFont="1" applyFill="1" applyBorder="1" applyAlignment="1">
      <x:alignment horizontal="left"/>
    </x:xf>
    <x:xf numFmtId="0" fontId="5" fillId="0" borderId="11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 applyAlignment="1">
      <x:alignment horizontal="center" vertical="top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2" borderId="12" xfId="0" applyNumberFormat="1" applyFont="1" applyFill="1" applyBorder="1" applyAlignment="1">
      <x:alignment horizontal="center"/>
    </x:xf>
    <x:xf numFmtId="0" fontId="5" fillId="2" borderId="12" xfId="0" applyNumberFormat="1" applyFont="1" applyFill="1" applyBorder="1"/>
    <x:xf numFmtId="0" fontId="5" fillId="0" borderId="12" xfId="0" applyNumberFormat="1" applyFont="1" applyFill="1" applyBorder="1" applyAlignment="1">
      <x:alignment vertical="center"/>
    </x:xf>
    <x:xf numFmtId="3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horizontal="center" vertical="top"/>
    </x:xf>
    <x:xf numFmtId="0" fontId="5" fillId="0" borderId="13" xfId="0" applyNumberFormat="1" applyFont="1" applyFill="1" applyBorder="1" applyAlignment="1">
      <x:alignment vertical="center"/>
    </x:xf>
    <x:xf numFmtId="43" fontId="5" fillId="0" borderId="12" xfId="0" applyNumberFormat="1" applyFont="1" applyFill="1" applyBorder="1" applyAlignment="1">
      <x:alignment horizontal="center" vertical="center"/>
    </x:xf>
    <x:xf numFmtId="3" fontId="5" fillId="0" borderId="12" xfId="0" applyNumberFormat="1" applyFont="1" applyFill="1" applyBorder="1" applyAlignment="1">
      <x:alignment horizontal="center" vertical="center"/>
    </x:xf>
    <x:xf numFmtId="10" fontId="5" fillId="0" borderId="12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/>
    </x:xf>
    <x:xf numFmtId="1" fontId="5" fillId="0" borderId="12" xfId="0" applyNumberFormat="1" applyFont="1" applyFill="1" applyBorder="1" applyAlignment="1">
      <x:alignment horizontal="center"/>
    </x:xf>
    <x:xf numFmtId="1" fontId="5" fillId="0" borderId="12" xfId="0" applyNumberFormat="1" applyFont="1" applyFill="1" applyBorder="1"/>
    <x:xf numFmtId="3" fontId="4" fillId="0" borderId="12" xfId="0" applyNumberFormat="1" applyFont="1" applyFill="1" applyBorder="1"/>
    <x:xf numFmtId="0" fontId="4" fillId="2" borderId="12" xfId="0" applyNumberFormat="1" applyFont="1" applyFill="1" applyBorder="1" applyAlignment="1">
      <x:alignment horizontal="center" vertical="center"/>
    </x:xf>
    <x:xf numFmtId="0" fontId="4" fillId="2" borderId="12" xfId="0" applyNumberFormat="1" applyFont="1" applyFill="1" applyBorder="1" applyAlignment="1">
      <x:alignment vertical="center"/>
    </x:xf>
    <x:xf numFmtId="3" fontId="4" fillId="2" borderId="12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left" vertical="center"/>
    </x:xf>
    <x:xf numFmtId="0" fontId="5" fillId="0" borderId="16" xfId="0" applyNumberFormat="1" applyFont="1" applyFill="1" applyBorder="1" applyAlignment="1">
      <x:alignment horizontal="left" vertical="center"/>
    </x:xf>
    <x:xf numFmtId="0" fontId="5" fillId="0" borderId="13" xfId="0" applyNumberFormat="1" applyFont="1" applyFill="1" applyBorder="1" applyAlignment="1">
      <x:alignment horizontal="left"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vertical="center"/>
    </x:xf>
    <x:xf numFmtId="3" fontId="5" fillId="0" borderId="18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/>
    <x:xf numFmtId="0" fontId="8" fillId="0" borderId="12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3" xfId="0" applyNumberFormat="1" applyFont="1" applyFill="1" applyBorder="1" applyAlignment="1">
      <x:alignment horizontal="right" vertical="center"/>
    </x:xf>
    <x:xf numFmtId="0" fontId="4" fillId="0" borderId="14" xfId="0" applyNumberFormat="1" applyFont="1" applyFill="1" applyBorder="1" applyAlignment="1">
      <x:alignment horizontal="right" vertical="center"/>
    </x:xf>
    <x:xf numFmtId="0" fontId="4" fillId="3" borderId="16" xfId="0" applyNumberFormat="1" applyFont="1" applyFill="1" applyBorder="1" applyAlignment="1">
      <x:alignment horizontal="left" vertical="center"/>
    </x:xf>
    <x:xf numFmtId="0" fontId="4" fillId="3" borderId="13" xfId="0" applyNumberFormat="1" applyFont="1" applyFill="1" applyBorder="1" applyAlignment="1">
      <x:alignment horizontal="left" vertical="center"/>
    </x:xf>
    <x:xf numFmtId="0" fontId="4" fillId="3" borderId="14" xfId="0" applyNumberFormat="1" applyFont="1" applyFill="1" applyBorder="1" applyAlignment="1">
      <x:alignment horizontal="left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center"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4" fillId="0" borderId="16" xfId="0" applyNumberFormat="1" applyFont="1" applyFill="1" applyBorder="1" applyAlignment="1">
      <x:alignment horizontal="left" vertical="center"/>
    </x:xf>
    <x:xf numFmtId="0" fontId="4" fillId="0" borderId="13" xfId="0" applyNumberFormat="1" applyFont="1" applyFill="1" applyBorder="1" applyAlignment="1">
      <x:alignment horizontal="left" vertical="center"/>
    </x:xf>
    <x:xf numFmtId="0" fontId="4" fillId="0" borderId="14" xfId="0" applyNumberFormat="1" applyFont="1" applyFill="1" applyBorder="1" applyAlignment="1">
      <x:alignment horizontal="left" vertical="center"/>
    </x:xf>
    <x:xf numFmtId="0" fontId="5" fillId="0" borderId="14" xfId="0" applyNumberFormat="1" applyFont="1" applyFill="1" applyBorder="1" applyAlignment="1">
      <x:alignment horizontal="left" vertical="center"/>
    </x:xf>
    <x:xf numFmtId="0" fontId="6" fillId="0" borderId="16" xfId="0" applyNumberFormat="1" applyFont="1" applyFill="1" applyBorder="1" applyAlignment="1">
      <x:alignment horizontal="left" vertical="center"/>
    </x:xf>
    <x:xf numFmtId="0" fontId="6" fillId="0" borderId="13" xfId="0" applyNumberFormat="1" applyFont="1" applyFill="1" applyBorder="1" applyAlignment="1">
      <x:alignment horizontal="left" vertical="center"/>
    </x:xf>
    <x:xf numFmtId="0" fontId="3" fillId="0" borderId="11" xfId="0" applyNumberFormat="1" applyFont="1" applyFill="1" applyBorder="1" applyAlignment="1">
      <x:alignment horizontal="center" vertical="top"/>
    </x:xf>
    <x:xf numFmtId="0" fontId="4" fillId="0" borderId="11" xfId="0" applyNumberFormat="1" applyFont="1" applyFill="1" applyBorder="1" applyAlignment="1">
      <x:alignment horizontal="right" vertical="top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/>
    </x:xf>
    <x:xf numFmtId="0" fontId="6" fillId="0" borderId="14" xfId="0" applyNumberFormat="1" applyFont="1" applyFill="1" applyBorder="1" applyAlignment="1">
      <x:alignment horizontal="left" vertical="center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3" xfId="0" applyNumberFormat="1" applyFont="1" applyFill="1" applyBorder="1" applyAlignment="1">
      <x:alignment horizontal="left" vertical="center" wrapText="1"/>
    </x:xf>
    <x:xf numFmtId="0" fontId="6" fillId="0" borderId="14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11" xfId="0" applyNumberFormat="1" applyFont="1" applyFill="1" applyBorder="1" applyAlignment="1">
      <x:alignment horizontal="left" wrapText="1"/>
    </x:xf>
    <x:xf numFmtId="200" fontId="5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horizontal="center" vertical="center"/>
    </x:xf>
    <x:xf numFmtId="200" fontId="5" fillId="0" borderId="12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horizontal="center"/>
    </x:xf>
    <x:xf numFmtId="200" fontId="5" fillId="0" borderId="12" xfId="0" applyNumberFormat="1" applyFont="1" applyFill="1" applyBorder="1"/>
    <x:xf numFmtId="200" fontId="4" fillId="0" borderId="12" xfId="0" applyNumberFormat="1" applyFont="1" applyFill="1" applyBorder="1"/>
    <x:xf numFmtId="200" fontId="4" fillId="2" borderId="12" xfId="0" applyNumberFormat="1" applyFont="1" applyFill="1" applyBorder="1" applyAlignment="1">
      <x:alignment horizontal="center" vertical="center"/>
    </x:xf>
    <x:xf numFmtId="200" fontId="4" fillId="2" borderId="12" xfId="0" applyNumberFormat="1" applyFont="1" applyFill="1" applyBorder="1" applyAlignment="1">
      <x:alignment vertical="center"/>
    </x:xf>
    <x:xf numFmtId="200" fontId="4" fillId="3" borderId="13" xfId="0" applyNumberFormat="1" applyFont="1" applyFill="1" applyBorder="1" applyAlignment="1">
      <x:alignment horizontal="left" vertical="center"/>
    </x:xf>
    <x:xf numFmtId="200" fontId="5" fillId="0" borderId="18" xfId="0" applyNumberFormat="1" applyFont="1" applyFill="1" applyBorder="1" applyAlignment="1">
      <x:alignment horizontal="center" vertical="center"/>
    </x:xf>
    <x:xf numFmtId="200" fontId="5" fillId="0" borderId="18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4" fillId="2" borderId="1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horizontal="left" vertical="center"/>
    </x:xf>
    <x:xf numFmtId="201" fontId="5" fillId="0" borderId="12" xfId="0" applyNumberFormat="1" applyFont="1" applyFill="1" applyBorder="1" applyAlignment="1">
      <x:alignment vertical="center"/>
    </x:xf>
    <x:xf numFmtId="201" fontId="4" fillId="2" borderId="12" xfId="0" applyNumberFormat="1" applyFont="1" applyFill="1" applyBorder="1" applyAlignment="1">
      <x:alignment vertical="center"/>
    </x:xf>
    <x:xf numFmtId="201" fontId="4" fillId="3" borderId="14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0" fontId="4" fillId="0" borderId="8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8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6" fillId="0" borderId="8" xfId="0" applyNumberFormat="1" applyFont="1" applyFill="1" applyBorder="1" applyAlignment="1">
      <x:alignment horizontal="left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left" vertical="center" wrapText="1"/>
    </x:xf>
    <x:xf numFmtId="0" fontId="5" fillId="0" borderId="14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right" vertical="center" wrapText="1"/>
    </x:xf>
    <x:xf numFmtId="0" fontId="4" fillId="0" borderId="14" xfId="0" applyNumberFormat="1" applyFont="1" applyFill="1" applyBorder="1" applyAlignment="1">
      <x:alignment horizontal="right" vertical="center" wrapText="1"/>
    </x:xf>
    <x:xf numFmtId="0" fontId="4" fillId="3" borderId="13" xfId="0" applyNumberFormat="1" applyFont="1" applyFill="1" applyBorder="1" applyAlignment="1">
      <x:alignment horizontal="left" vertical="center" wrapText="1"/>
    </x:xf>
    <x:xf numFmtId="0" fontId="4" fillId="3" borderId="14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3" fontId="5" fillId="0" borderId="1" xfId="0" applyNumberFormat="1" applyFont="1" applyFill="1" applyBorder="1" applyAlignment="1">
      <x:alignment vertical="center"/>
    </x:xf>
    <x:xf numFmtId="43" fontId="5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center" vertical="center"/>
    </x:xf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751e9c32e4c99" /><Relationship Type="http://schemas.openxmlformats.org/officeDocument/2006/relationships/theme" Target="/xl/theme/theme1.xml" Id="Ra8460992cbfa4b75" /><Relationship Type="http://schemas.openxmlformats.org/officeDocument/2006/relationships/sharedStrings" Target="/xl/sharedStrings.xml" Id="R6d6b3e9eac334bdb" /><Relationship Type="http://schemas.openxmlformats.org/officeDocument/2006/relationships/worksheet" Target="/xl/worksheets/sheet1.xml" Id="R34b61c4f3db142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indexed="12"/>
  </x:sheetPr>
  <x:sheetFormatPr defaultColWidth="8.7109375" defaultRowHeight="15"/>
  <x:cols>
    <x:col min="1" max="1" width="9.28515625" style="2" customWidth="1"/>
    <x:col min="2" max="3" width="4.42578125" style="2" customWidth="1"/>
    <x:col min="4" max="4" width="36.42578125" style="2" customWidth="1"/>
    <x:col min="5" max="5" width="16" style="4" hidden="0" customWidth="1"/>
    <x:col min="6" max="6" width="10" style="4" hidden="0" customWidth="1"/>
    <x:col min="7" max="7" width="13" style="2" hidden="0" customWidth="1"/>
    <x:col min="8" max="8" width="14" style="2" hidden="0" customWidth="1"/>
    <x:col min="9" max="9" width="13" style="2" hidden="0" customWidth="1"/>
    <x:col min="10" max="16384" width="8.7109375" style="2" customWidth="0"/>
  </x:cols>
  <x:sheetData>
    <x:row r="1" s="39" customFormat="1" ht="15.75">
      <x:c r="A1" s="61" t="s">
        <x:v>0</x:v>
      </x:c>
      <x:c r="B1" s="61"/>
      <x:c r="C1" s="61"/>
      <x:c r="D1" s="61"/>
      <x:c r="E1" s="61"/>
      <x:c r="F1" s="61"/>
      <x:c r="G1" s="61"/>
      <x:c r="H1" s="61"/>
      <x:c r="I1" s="61"/>
    </x:row>
    <x:row r="2" s="39" customFormat="1" ht="15.75">
      <x:c r="A2" s="67" t="s">
        <x:v>1</x:v>
      </x:c>
      <x:c r="B2" s="67"/>
      <x:c r="C2" s="67"/>
      <x:c r="D2" s="67"/>
      <x:c r="E2" s="67"/>
      <x:c r="F2" s="67"/>
      <x:c r="G2" s="67"/>
      <x:c r="H2" s="67"/>
      <x:c r="I2" s="67"/>
    </x:row>
    <x:row r="3" ht="7.5" customHeight="1">
      <x:c r="A3" s="68"/>
      <x:c r="B3" s="69"/>
      <x:c r="C3" s="69"/>
      <x:c r="D3" s="69"/>
      <x:c r="E3" s="69"/>
      <x:c r="F3" s="69"/>
      <x:c r="G3" s="69"/>
      <x:c r="H3" s="69"/>
      <x:c r="I3" s="69"/>
    </x:row>
    <x:row r="4">
      <x:c r="A4" s="1" t="s">
        <x:v>2</x:v>
      </x:c>
      <x:c r="B4" s="69" t="s">
        <x:v>3</x:v>
      </x:c>
      <x:c r="C4" s="69"/>
      <x:c r="D4" s="69"/>
      <x:c r="E4" s="69"/>
      <x:c r="F4" s="69"/>
      <x:c r="G4" s="69"/>
      <x:c r="H4" s="69"/>
      <x:c r="I4" s="69"/>
    </x:row>
    <x:row r="5" ht="36" customHeight="1">
      <x:c r="A5" s="141" t="str">
        <x:v>Project Title: Data-Driven Mixture-of-Experts Routing for Spatial Gene Expression Prediction from H&amp;E Histology</x:v>
      </x:c>
      <x:c r="B5" s="68"/>
      <x:c r="C5" s="68"/>
      <x:c r="D5" s="68"/>
      <x:c r="E5" s="68"/>
      <x:c r="F5" s="68"/>
      <x:c r="G5" s="68"/>
      <x:c r="H5" s="68"/>
      <x:c r="I5" s="68"/>
    </x:row>
    <x:row r="6">
      <x:c r="A6" s="3"/>
      <x:c r="B6" s="3"/>
      <x:c r="C6" s="3"/>
      <x:c r="D6" s="3"/>
      <x:c r="G6" s="3"/>
      <x:c r="H6" s="3"/>
      <x:c r="I6" s="3"/>
    </x:row>
    <x:row r="7">
      <x:c r="A7" s="5"/>
      <x:c r="B7" s="5"/>
      <x:c r="C7" s="5"/>
      <x:c r="D7" s="5"/>
      <x:c r="E7" s="5"/>
      <x:c r="F7" s="5"/>
      <x:c r="G7" s="5"/>
      <x:c r="H7" s="62" t="s">
        <x:v>4</x:v>
      </x:c>
      <x:c r="I7" s="62"/>
    </x:row>
    <x:row r="8" ht="40.5" customHeight="1">
      <x:c r="A8" s="6" t="s">
        <x:v>5</x:v>
      </x:c>
      <x:c r="B8" s="63" t="s">
        <x:v>6</x:v>
      </x:c>
      <x:c r="C8" s="64"/>
      <x:c r="D8" s="64"/>
      <x:c r="E8" s="187" t="s">
        <x:v>7</x:v>
      </x:c>
      <x:c r="F8" s="187" t="s">
        <x:v>8</x:v>
      </x:c>
      <x:c r="G8" s="187" t="s">
        <x:v>9</x:v>
      </x:c>
      <x:c r="H8" s="188" t="s">
        <x:v>10</x:v>
      </x:c>
      <x:c r="I8" s="188" t="s">
        <x:v>11</x:v>
      </x:c>
    </x:row>
    <x:row r="9" ht="16.149999618530273" customHeight="1">
      <x:c r="A9" s="44" t="s">
        <x:v>12</x:v>
      </x:c>
      <x:c r="B9" s="45"/>
      <x:c r="C9" s="45"/>
      <x:c r="D9" s="46"/>
      <x:c r="E9" s="189"/>
      <x:c r="F9" s="189"/>
      <x:c r="G9" s="190"/>
      <x:c r="H9" s="190"/>
      <x:c r="I9" s="190"/>
    </x:row>
    <x:row r="10" ht="16.149999618530273" customHeight="1">
      <x:c r="A10" s="40">
        <x:v>3211111</x:v>
      </x:c>
      <x:c r="B10" s="59" t="s">
        <x:v>13</x:v>
      </x:c>
      <x:c r="C10" s="60"/>
      <x:c r="D10" s="70"/>
      <x:c r="E10" s="187"/>
      <x:c r="F10" s="187"/>
      <x:c r="G10" s="191"/>
      <x:c r="H10" s="192"/>
      <x:c r="I10" s="191"/>
    </x:row>
    <x:row r="11" ht="44" customHeight="1">
      <x:c r="A11" s="65"/>
      <x:c r="B11" s="12"/>
      <x:c r="C11" s="169" t="str">
        <x:v>Conference registration and participation allowance for project presentation (maximum BDT 10,000)</x:v>
      </x:c>
      <x:c r="D11" s="170"/>
      <x:c r="E11" s="193" t="str">
        <x:v>package</x:v>
      </x:c>
      <x:c r="F11" s="143" t="n">
        <x:v>1</x:v>
      </x:c>
      <x:c r="G11" s="144" t="n">
        <x:v>10000</x:v>
      </x:c>
      <x:c r="H11" s="144" t="n">
        <x:f>F11*G11</x:f>
        <x:v>10000</x:v>
      </x:c>
      <x:c r="I11" s="163" t="n">
        <x:f>IFERROR(H11/$H$39,0)</x:f>
        <x:v>0.1</x:v>
      </x:c>
    </x:row>
    <x:row r="12" ht="16.149999618530273" customHeight="1">
      <x:c r="A12" s="66"/>
      <x:c r="B12" s="54" t="s">
        <x:v>14</x:v>
      </x:c>
      <x:c r="C12" s="171"/>
      <x:c r="D12" s="172"/>
      <x:c r="E12" s="193"/>
      <x:c r="F12" s="143"/>
      <x:c r="G12" s="144"/>
      <x:c r="H12" s="144" t="n">
        <x:f>SUM(H11:H11)</x:f>
        <x:v>10000</x:v>
      </x:c>
      <x:c r="I12" s="163" t="n">
        <x:f>IFERROR(H12/$H$39,0)</x:f>
        <x:v>0.1</x:v>
      </x:c>
    </x:row>
    <x:row r="13" ht="16.149999618530273" customHeight="1">
      <x:c r="A13" s="41" t="s">
        <x:v>15</x:v>
      </x:c>
      <x:c r="B13" s="42"/>
      <x:c r="C13" s="173"/>
      <x:c r="D13" s="174"/>
      <x:c r="E13" s="187"/>
      <x:c r="F13" s="143"/>
      <x:c r="G13" s="144"/>
      <x:c r="H13" s="194" t="n">
        <x:f>H12</x:f>
        <x:v>10000</x:v>
      </x:c>
      <x:c r="I13" s="163" t="n">
        <x:f>IFERROR(H13/$H$39,0)</x:f>
        <x:v>0.1</x:v>
      </x:c>
    </x:row>
    <x:row r="14" ht="16.149999618530273" customHeight="1">
      <x:c r="A14" s="44" t="s">
        <x:v>16</x:v>
      </x:c>
      <x:c r="B14" s="45"/>
      <x:c r="C14" s="175"/>
      <x:c r="D14" s="176"/>
      <x:c r="E14" s="195"/>
      <x:c r="F14" s="148"/>
      <x:c r="G14" s="149"/>
      <x:c r="H14" s="149"/>
      <x:c r="I14" s="164"/>
    </x:row>
    <x:row r="15" ht="16.149999618530273" customHeight="1">
      <x:c r="A15" s="18">
        <x:v>3256102</x:v>
      </x:c>
      <x:c r="B15" s="59" t="s">
        <x:v>17</x:v>
      </x:c>
      <x:c r="C15" s="177"/>
      <x:c r="D15" s="177"/>
      <x:c r="E15" s="187"/>
      <x:c r="F15" s="143"/>
      <x:c r="G15" s="144"/>
      <x:c r="H15" s="144"/>
      <x:c r="I15" s="163"/>
    </x:row>
    <x:row r="16" ht="16.149999618530273" customHeight="1">
      <x:c r="A16" s="50"/>
      <x:c r="B16" s="27"/>
      <x:c r="C16" s="169" t="str">
        <x:v>Not applicable</x:v>
      </x:c>
      <x:c r="D16" s="170"/>
      <x:c r="E16" s="187"/>
      <x:c r="F16" s="143"/>
      <x:c r="G16" s="144"/>
      <x:c r="H16" s="144"/>
      <x:c r="I16" s="163"/>
    </x:row>
    <x:row r="17" ht="16.149999618530273" customHeight="1">
      <x:c r="A17" s="50"/>
      <x:c r="B17" s="27"/>
      <x:c r="C17" s="169" t="str"/>
      <x:c r="D17" s="170"/>
      <x:c r="E17" s="187"/>
      <x:c r="F17" s="143"/>
      <x:c r="G17" s="144"/>
      <x:c r="H17" s="144"/>
      <x:c r="I17" s="163"/>
    </x:row>
    <x:row r="18" ht="16.149999618530273" customHeight="1">
      <x:c r="A18" s="51"/>
      <x:c r="B18" s="54" t="s">
        <x:v>18</x:v>
      </x:c>
      <x:c r="C18" s="171"/>
      <x:c r="D18" s="172"/>
      <x:c r="E18" s="196"/>
      <x:c r="F18" s="143"/>
      <x:c r="G18" s="144"/>
      <x:c r="H18" s="144" t="n">
        <x:f>SUM(H16:H17)</x:f>
        <x:v>0</x:v>
      </x:c>
      <x:c r="I18" s="163" t="n">
        <x:f>IFERROR(H18/$H$39,0)</x:f>
        <x:v>0</x:v>
      </x:c>
    </x:row>
    <x:row r="19" ht="28.899999618530273" customHeight="1">
      <x:c r="A19" s="18">
        <x:v>3257104</x:v>
      </x:c>
      <x:c r="B19" s="71" t="s">
        <x:v>19</x:v>
      </x:c>
      <x:c r="C19" s="177"/>
      <x:c r="D19" s="178"/>
      <x:c r="E19" s="187"/>
      <x:c r="F19" s="143"/>
      <x:c r="G19" s="144"/>
      <x:c r="H19" s="144"/>
      <x:c r="I19" s="163"/>
    </x:row>
    <x:row r="20" ht="16.149999618530273" customHeight="1">
      <x:c r="A20" s="50"/>
      <x:c r="B20" s="28"/>
      <x:c r="C20" s="169" t="str">
        <x:v>Not applicable</x:v>
      </x:c>
      <x:c r="D20" s="170"/>
      <x:c r="E20" s="187"/>
      <x:c r="F20" s="143"/>
      <x:c r="G20" s="144"/>
      <x:c r="H20" s="144"/>
      <x:c r="I20" s="163"/>
    </x:row>
    <x:row r="21" ht="16.149999618530273" customHeight="1">
      <x:c r="A21" s="50"/>
      <x:c r="B21" s="29"/>
      <x:c r="C21" s="169" t="str"/>
      <x:c r="D21" s="170"/>
      <x:c r="E21" s="187"/>
      <x:c r="F21" s="143"/>
      <x:c r="G21" s="144"/>
      <x:c r="H21" s="144"/>
      <x:c r="I21" s="163"/>
    </x:row>
    <x:row r="22" ht="16.149999618530273" customHeight="1">
      <x:c r="A22" s="51"/>
      <x:c r="B22" s="54" t="s">
        <x:v>18</x:v>
      </x:c>
      <x:c r="C22" s="171"/>
      <x:c r="D22" s="172"/>
      <x:c r="E22" s="187"/>
      <x:c r="F22" s="143"/>
      <x:c r="G22" s="144"/>
      <x:c r="H22" s="144" t="n">
        <x:f>SUM(H20:H21)</x:f>
        <x:v>0</x:v>
      </x:c>
      <x:c r="I22" s="163" t="n">
        <x:f>IFERROR(H22/$H$39,0)</x:f>
        <x:v>0</x:v>
      </x:c>
    </x:row>
    <x:row r="23" ht="16.149999618530273" customHeight="1">
      <x:c r="A23" s="18">
        <x:v>4112306</x:v>
      </x:c>
      <x:c r="B23" s="59" t="s">
        <x:v>20</x:v>
      </x:c>
      <x:c r="C23" s="177"/>
      <x:c r="D23" s="178"/>
      <x:c r="E23" s="187"/>
      <x:c r="F23" s="143"/>
      <x:c r="G23" s="144"/>
      <x:c r="H23" s="144"/>
      <x:c r="I23" s="163"/>
    </x:row>
    <x:row r="24" ht="16.149999618530273" customHeight="1">
      <x:c r="A24" s="49"/>
      <x:c r="B24" s="13"/>
      <x:c r="C24" s="169" t="str">
        <x:v>Not applicable</x:v>
      </x:c>
      <x:c r="D24" s="170"/>
      <x:c r="E24" s="187"/>
      <x:c r="F24" s="143"/>
      <x:c r="G24" s="144"/>
      <x:c r="H24" s="144"/>
      <x:c r="I24" s="163"/>
    </x:row>
    <x:row r="25" ht="16.149999618530273" customHeight="1">
      <x:c r="A25" s="50"/>
      <x:c r="B25" s="13"/>
      <x:c r="C25" s="169" t="str"/>
      <x:c r="D25" s="170"/>
      <x:c r="E25" s="187"/>
      <x:c r="F25" s="143"/>
      <x:c r="G25" s="144"/>
      <x:c r="H25" s="144"/>
      <x:c r="I25" s="163"/>
    </x:row>
    <x:row r="26" ht="16.149999618530273" customHeight="1">
      <x:c r="A26" s="51"/>
      <x:c r="B26" s="54" t="s">
        <x:v>18</x:v>
      </x:c>
      <x:c r="C26" s="171"/>
      <x:c r="D26" s="172"/>
      <x:c r="E26" s="187"/>
      <x:c r="F26" s="143"/>
      <x:c r="G26" s="144"/>
      <x:c r="H26" s="144" t="n">
        <x:f>SUM(H24:H25)</x:f>
        <x:v>0</x:v>
      </x:c>
      <x:c r="I26" s="163" t="n">
        <x:f>IFERROR(H26/$H$39,0)</x:f>
        <x:v>0</x:v>
      </x:c>
    </x:row>
    <x:row r="27" ht="16.149999618530273" customHeight="1">
      <x:c r="A27" s="18">
        <x:v>4112202</x:v>
      </x:c>
      <x:c r="B27" s="59" t="s">
        <x:v>21</x:v>
      </x:c>
      <x:c r="C27" s="177"/>
      <x:c r="D27" s="178"/>
      <x:c r="E27" s="187"/>
      <x:c r="F27" s="143"/>
      <x:c r="G27" s="144"/>
      <x:c r="H27" s="144"/>
      <x:c r="I27" s="163"/>
    </x:row>
    <x:row r="28" ht="58" customHeight="1">
      <x:c r="A28" s="49"/>
      <x:c r="B28" s="30"/>
      <x:c r="C28" s="169" t="str">
        <x:v>4 TB high-speed SSD for local working storage of HEST/other H&amp;E-ST data, image patches, model checkpoints and prediction caches</x:v>
      </x:c>
      <x:c r="D28" s="170"/>
      <x:c r="E28" s="187" t="str">
        <x:v>unit</x:v>
      </x:c>
      <x:c r="F28" s="143" t="n">
        <x:v>1</x:v>
      </x:c>
      <x:c r="G28" s="144" t="n">
        <x:v>42500</x:v>
      </x:c>
      <x:c r="H28" s="144" t="n">
        <x:f>F28*G28</x:f>
        <x:v>42500</x:v>
      </x:c>
      <x:c r="I28" s="163" t="n">
        <x:f>IFERROR(H28/$H$39,0)</x:f>
        <x:v>0.425</x:v>
      </x:c>
    </x:row>
    <x:row r="29" ht="50" customHeight="1">
      <x:c r="A29" s="50"/>
      <x:c r="B29" s="31"/>
      <x:c r="C29" s="169" t="str">
        <x:v>High-speed SSD enclosure / interface and required data-transfer accessories (cable, thermal pad/adapter as needed)</x:v>
      </x:c>
      <x:c r="D29" s="170"/>
      <x:c r="E29" s="187" t="str">
        <x:v>lot</x:v>
      </x:c>
      <x:c r="F29" s="143" t="n">
        <x:v>1</x:v>
      </x:c>
      <x:c r="G29" s="144" t="n">
        <x:v>3000</x:v>
      </x:c>
      <x:c r="H29" s="144" t="n">
        <x:f>F29*G29</x:f>
        <x:v>3000</x:v>
      </x:c>
      <x:c r="I29" s="163" t="n">
        <x:f>IFERROR(H29/$H$39,0)</x:f>
        <x:v>0.03</x:v>
      </x:c>
    </x:row>
    <x:row r="30" ht="16.149999618530273" customHeight="1">
      <x:c r="A30" s="51"/>
      <x:c r="B30" s="54" t="s">
        <x:v>18</x:v>
      </x:c>
      <x:c r="C30" s="171"/>
      <x:c r="D30" s="172"/>
      <x:c r="E30" s="187"/>
      <x:c r="F30" s="143"/>
      <x:c r="G30" s="144"/>
      <x:c r="H30" s="144" t="n">
        <x:f>SUM(H28:H29)</x:f>
        <x:v>45500</x:v>
      </x:c>
      <x:c r="I30" s="163" t="n">
        <x:f>IFERROR(H30/$H$39,0)</x:f>
        <x:v>0.455</x:v>
      </x:c>
    </x:row>
    <x:row r="31" ht="16.149999618530273" customHeight="1">
      <x:c r="A31" s="18">
        <x:v>4113301</x:v>
      </x:c>
      <x:c r="B31" s="59" t="s">
        <x:v>22</x:v>
      </x:c>
      <x:c r="C31" s="177"/>
      <x:c r="D31" s="178"/>
      <x:c r="E31" s="187"/>
      <x:c r="F31" s="143"/>
      <x:c r="G31" s="144"/>
      <x:c r="H31" s="144"/>
      <x:c r="I31" s="163"/>
    </x:row>
    <x:row r="32" ht="64" customHeight="1">
      <x:c r="A32" s="49"/>
      <x:c r="B32" s="32"/>
      <x:c r="C32" s="169" t="str">
        <x:v>GPU-accelerated cloud computing platform credits/subscription for expert inference, router training, hyperparameter experiments and evaluation</x:v>
      </x:c>
      <x:c r="D32" s="170"/>
      <x:c r="E32" s="187" t="str">
        <x:v>package</x:v>
      </x:c>
      <x:c r="F32" s="143" t="n">
        <x:v>1</x:v>
      </x:c>
      <x:c r="G32" s="144" t="n">
        <x:v>28000</x:v>
      </x:c>
      <x:c r="H32" s="144" t="n">
        <x:f>F32*G32</x:f>
        <x:v>28000</x:v>
      </x:c>
      <x:c r="I32" s="163" t="n">
        <x:f>IFERROR(H32/$H$39,0)</x:f>
        <x:v>0.28</x:v>
      </x:c>
    </x:row>
    <x:row r="33" ht="72" customHeight="1">
      <x:c r="A33" s="50"/>
      <x:c r="B33" s="32"/>
      <x:c r="C33" s="169" t="str">
        <x:v>Premium AI-assisted research and coding software subscription(s) for literature synthesis, debugging, code review, reproducibility checks and technical documentation</x:v>
      </x:c>
      <x:c r="D33" s="170"/>
      <x:c r="E33" s="187" t="str">
        <x:v>package</x:v>
      </x:c>
      <x:c r="F33" s="143" t="n">
        <x:v>1</x:v>
      </x:c>
      <x:c r="G33" s="144" t="n">
        <x:v>15000</x:v>
      </x:c>
      <x:c r="H33" s="144" t="n">
        <x:f>F33*G33</x:f>
        <x:v>15000</x:v>
      </x:c>
      <x:c r="I33" s="163" t="n">
        <x:f>IFERROR(H33/$H$39,0)</x:f>
        <x:v>0.15</x:v>
      </x:c>
    </x:row>
    <x:row r="34" ht="16.149999618530273" customHeight="1">
      <x:c r="A34" s="51"/>
      <x:c r="B34" s="54" t="s">
        <x:v>18</x:v>
      </x:c>
      <x:c r="C34" s="171"/>
      <x:c r="D34" s="172"/>
      <x:c r="E34" s="187"/>
      <x:c r="F34" s="143"/>
      <x:c r="G34" s="144"/>
      <x:c r="H34" s="144" t="n">
        <x:f>SUM(H32:H33)</x:f>
        <x:v>43000</x:v>
      </x:c>
      <x:c r="I34" s="163" t="n">
        <x:f>IFERROR(H34/$H$39,0)</x:f>
        <x:v>0.43</x:v>
      </x:c>
    </x:row>
    <x:row r="35" ht="16.149999618530273" customHeight="1">
      <x:c r="A35" s="41" t="s">
        <x:v>23</x:v>
      </x:c>
      <x:c r="B35" s="42"/>
      <x:c r="C35" s="173"/>
      <x:c r="D35" s="173"/>
      <x:c r="E35" s="187"/>
      <x:c r="F35" s="143"/>
      <x:c r="G35" s="144"/>
      <x:c r="H35" s="144" t="n">
        <x:f>SUM(H18,H22,H26,H30,H34)</x:f>
        <x:v>88500</x:v>
      </x:c>
      <x:c r="I35" s="163" t="n">
        <x:f>IFERROR(H35/$H$39,0)</x:f>
        <x:v>0.885</x:v>
      </x:c>
    </x:row>
    <x:row r="36" ht="16.149999618530273" customHeight="1">
      <x:c r="A36" s="41" t="s">
        <x:v>24</x:v>
      </x:c>
      <x:c r="B36" s="42"/>
      <x:c r="C36" s="173"/>
      <x:c r="D36" s="173"/>
      <x:c r="E36" s="187"/>
      <x:c r="F36" s="143"/>
      <x:c r="G36" s="144"/>
      <x:c r="H36" s="144" t="n">
        <x:f>H13+H35</x:f>
        <x:v>98500</x:v>
      </x:c>
      <x:c r="I36" s="163" t="n">
        <x:f>IFERROR(H36/$H$39,0)</x:f>
        <x:v>0.985</x:v>
      </x:c>
    </x:row>
    <x:row r="37" ht="16.149999618530273" customHeight="1">
      <x:c r="A37" s="44" t="s">
        <x:v>25</x:v>
      </x:c>
      <x:c r="B37" s="45"/>
      <x:c r="C37" s="175"/>
      <x:c r="D37" s="175"/>
      <x:c r="E37" s="197"/>
      <x:c r="F37" s="150"/>
      <x:c r="G37" s="150"/>
      <x:c r="H37" s="150"/>
      <x:c r="I37" s="165"/>
    </x:row>
    <x:row r="38" ht="44" customHeight="1">
      <x:c r="A38" s="34">
        <x:v>3257303</x:v>
      </x:c>
      <x:c r="B38" s="52" t="s">
        <x:v>26</x:v>
      </x:c>
      <x:c r="C38" s="171"/>
      <x:c r="D38" s="172"/>
      <x:c r="E38" s="187" t="str">
        <x:v>lot</x:v>
      </x:c>
      <x:c r="F38" s="143" t="n">
        <x:v>1</x:v>
      </x:c>
      <x:c r="G38" s="143" t="n">
        <x:v>1500</x:v>
      </x:c>
      <x:c r="H38" s="143" t="n">
        <x:f>MIN(F38*G38,H36*2%)</x:f>
        <x:v>1500</x:v>
      </x:c>
      <x:c r="I38" s="163" t="n">
        <x:f>IFERROR(H38/$H$39,0)</x:f>
        <x:v>0.015</x:v>
      </x:c>
    </x:row>
    <x:row r="39" ht="21" customHeight="1">
      <x:c r="A39" s="47" t="s">
        <x:v>27</x:v>
      </x:c>
      <x:c r="B39" s="48"/>
      <x:c r="C39" s="179"/>
      <x:c r="D39" s="179"/>
      <x:c r="E39" s="198"/>
      <x:c r="F39" s="151"/>
      <x:c r="G39" s="152"/>
      <x:c r="H39" s="152" t="n">
        <x:f>H36+H38</x:f>
        <x:v>100000</x:v>
      </x:c>
      <x:c r="I39" s="163" t="n">
        <x:f>IFERROR(H39/$H$39,0)</x:f>
        <x:v>1</x:v>
      </x:c>
    </x:row>
  </x:sheetData>
  <x:mergeCells>
    <x:mergeCell ref="C33:D33"/>
    <x:mergeCell ref="B34:D34"/>
    <x:mergeCell ref="B26:D26"/>
    <x:mergeCell ref="B27:D27"/>
    <x:mergeCell ref="C28:D28"/>
    <x:mergeCell ref="C29:D29"/>
    <x:mergeCell ref="B30:D30"/>
    <x:mergeCell ref="C17:D17"/>
    <x:mergeCell ref="B31:D31"/>
    <x:mergeCell ref="C32:D32"/>
    <x:mergeCell ref="C21:D21"/>
    <x:mergeCell ref="B23:D23"/>
    <x:mergeCell ref="C24:D24"/>
    <x:mergeCell ref="C25:D25"/>
    <x:mergeCell ref="B22:D22"/>
    <x:mergeCell ref="B19:D19"/>
    <x:mergeCell ref="A1:I1"/>
    <x:mergeCell ref="H7:I7"/>
    <x:mergeCell ref="B8:D8"/>
    <x:mergeCell ref="A11:A12"/>
    <x:mergeCell ref="A2:I2"/>
    <x:mergeCell ref="A3:I3"/>
    <x:mergeCell ref="A5:I5"/>
    <x:mergeCell ref="A9:D9"/>
    <x:mergeCell ref="B4:I4"/>
    <x:mergeCell ref="C11:D11"/>
    <x:mergeCell ref="B12:D12"/>
    <x:mergeCell ref="B10:D10"/>
    <x:mergeCell ref="A13:D13"/>
    <x:mergeCell ref="A14:D14"/>
    <x:mergeCell ref="A39:D39"/>
    <x:mergeCell ref="A35:D35"/>
    <x:mergeCell ref="A36:D36"/>
    <x:mergeCell ref="A24:A26"/>
    <x:mergeCell ref="A16:A18"/>
    <x:mergeCell ref="A20:A22"/>
    <x:mergeCell ref="B38:D38"/>
    <x:mergeCell ref="A37:I37"/>
    <x:mergeCell ref="A28:A30"/>
    <x:mergeCell ref="A32:A34"/>
    <x:mergeCell ref="B18:D18"/>
    <x:mergeCell ref="C20:D20"/>
    <x:mergeCell ref="B15:D15"/>
    <x:mergeCell ref="C16:D16"/>
  </x:mergeCells>
  <x:pageMargins left="0.7" right="0.7" top="0.75" bottom="0.75" header="0.3" footer="0.3"/>
</x:worksheet>
</file>